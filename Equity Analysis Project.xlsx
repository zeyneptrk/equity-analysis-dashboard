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hcesehir-my.sharepoint.com/personal/zeynep_turkoglu_bahcesehir_edu_tr/Documents/Forms/Document/"/>
    </mc:Choice>
  </mc:AlternateContent>
  <xr:revisionPtr revIDLastSave="0" documentId="8_{1753479F-95EA-8E4B-B410-3768A83EBA66}" xr6:coauthVersionLast="47" xr6:coauthVersionMax="47" xr10:uidLastSave="{00000000-0000-0000-0000-000000000000}"/>
  <bookViews>
    <workbookView xWindow="0" yWindow="500" windowWidth="28800" windowHeight="16280" activeTab="3" xr2:uid="{D3F22A3E-345C-AD48-8734-FABB93998B07}"/>
  </bookViews>
  <sheets>
    <sheet name="Overview" sheetId="1" r:id="rId1"/>
    <sheet name="Financials" sheetId="2" r:id="rId2"/>
    <sheet name="Ratios" sheetId="3" r:id="rId3"/>
    <sheet name="Dashboard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E4" i="3"/>
  <c r="E5" i="3"/>
  <c r="E6" i="3"/>
  <c r="E3" i="3"/>
  <c r="D4" i="3"/>
  <c r="D5" i="3"/>
  <c r="D6" i="3"/>
  <c r="D3" i="3"/>
  <c r="C4" i="3"/>
  <c r="C5" i="3"/>
  <c r="C6" i="3"/>
  <c r="C3" i="3"/>
  <c r="B4" i="3"/>
  <c r="B5" i="3"/>
  <c r="B6" i="3"/>
  <c r="F2" i="2"/>
  <c r="F6" i="2"/>
  <c r="F3" i="2"/>
  <c r="F4" i="2"/>
  <c r="F5" i="2"/>
</calcChain>
</file>

<file path=xl/sharedStrings.xml><?xml version="1.0" encoding="utf-8"?>
<sst xmlns="http://schemas.openxmlformats.org/spreadsheetml/2006/main" count="12" uniqueCount="12">
  <si>
    <t>Financials</t>
  </si>
  <si>
    <t>Revenue</t>
  </si>
  <si>
    <t>Net Income</t>
  </si>
  <si>
    <t>Total Assets</t>
  </si>
  <si>
    <t>Total Liabilities</t>
  </si>
  <si>
    <t>Equity</t>
  </si>
  <si>
    <t>Year</t>
  </si>
  <si>
    <t>Revenue Growth</t>
  </si>
  <si>
    <t>Net Profit Margin</t>
  </si>
  <si>
    <t>ROE</t>
  </si>
  <si>
    <t>Debt to Equity</t>
  </si>
  <si>
    <t>Equity Analysis - Apple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</si>
</sst>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scheme val="minor"/>
    </font>
    <font>
      <b/>
      <sz val="26"/>
      <color rgb="FF002060"/>
      <name val="Aptos Narrow"/>
      <scheme val="minor"/>
    </font>
    <font>
      <sz val="11"/>
      <color rgb="FF000000"/>
      <name val="Aptos Narrow"/>
      <scheme val="minor"/>
    </font>
    <font>
      <b/>
      <sz val="14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2" fontId="2" fillId="0" borderId="0" xfId="0" applyNumberFormat="1" applyFont="1"/>
    <xf numFmtId="9" fontId="0" fillId="0" borderId="0" xfId="1" applyFont="1"/>
    <xf numFmtId="0" fontId="0" fillId="0" borderId="0" xfId="0" applyAlignment="1">
      <alignment wrapText="1"/>
    </xf>
    <xf numFmtId="0" fontId="4" fillId="0" borderId="0" xfId="0" applyFont="1"/>
    <xf numFmtId="0" fontId="2" fillId="0" borderId="0" xfId="0" applyFont="1" applyAlignment="1">
      <alignment wrapText="1"/>
    </xf>
    <xf numFmtId="0" fontId="5" fillId="0" borderId="0" xfId="0" applyFont="1" applyFill="1"/>
    <xf numFmtId="0" fontId="6" fillId="0" borderId="0" xfId="0" applyFont="1"/>
    <xf numFmtId="0" fontId="7" fillId="0" borderId="0" xfId="0" applyFont="1"/>
  </cellXfs>
  <cellStyles count="2">
    <cellStyle name="Normal" xfId="0" builtinId="0"/>
    <cellStyle name="Percent" xfId="1" builtinId="5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Financials!$B$1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Financials!$A$2:$A$6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Financials!$B$2:$B$6</c:f>
              <c:numCache>
                <c:formatCode>General</c:formatCode>
                <c:ptCount val="5"/>
                <c:pt idx="0">
                  <c:v>274515</c:v>
                </c:pt>
                <c:pt idx="1">
                  <c:v>365817</c:v>
                </c:pt>
                <c:pt idx="2">
                  <c:v>394328</c:v>
                </c:pt>
                <c:pt idx="3">
                  <c:v>383285</c:v>
                </c:pt>
                <c:pt idx="4">
                  <c:v>391035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77-FD45-87C0-FA887C0ED4C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48863519"/>
        <c:axId val="2048794911"/>
      </c:lineChart>
      <c:catAx>
        <c:axId val="20488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048794911"/>
        <c:crosses val="autoZero"/>
        <c:auto val="1"/>
        <c:lblAlgn val="ctr"/>
        <c:lblOffset val="100"/>
        <c:noMultiLvlLbl val="0"/>
      </c:catAx>
      <c:valAx>
        <c:axId val="2048794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04886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Net 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Ratios!$C$1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Ratios!$A$2:$A$6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Ratios!$C$2:$C$6</c:f>
              <c:numCache>
                <c:formatCode>0%</c:formatCode>
                <c:ptCount val="5"/>
                <c:pt idx="1">
                  <c:v>0.20913611278072236</c:v>
                </c:pt>
                <c:pt idx="2">
                  <c:v>0.25881793355694238</c:v>
                </c:pt>
                <c:pt idx="3">
                  <c:v>0.25309640705199732</c:v>
                </c:pt>
                <c:pt idx="4">
                  <c:v>0.25306234264320282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BB-FE4F-8F91-BA8657B61B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74981040"/>
        <c:axId val="874982752"/>
      </c:lineChart>
      <c:catAx>
        <c:axId val="87498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874982752"/>
        <c:crosses val="autoZero"/>
        <c:auto val="1"/>
        <c:lblAlgn val="ctr"/>
        <c:lblOffset val="100"/>
        <c:noMultiLvlLbl val="0"/>
      </c:catAx>
      <c:valAx>
        <c:axId val="87498275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87498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3683000</xdr:colOff>
      <xdr:row>2</xdr:row>
      <xdr:rowOff>469900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2B6A3B-20E1-6456-020D-18A88E5A3327}"/>
            </a:ext>
          </a:extLst>
        </xdr:cNvPr>
        <xdr:cNvSpPr txBox="1"/>
      </xdr:nvSpPr>
      <xdr:spPr>
        <a:xfrm>
          <a:off x="3683000" y="107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1663700</xdr:colOff>
      <xdr:row>4</xdr:row>
      <xdr:rowOff>127000</xdr:rowOff>
    </xdr:from>
    <xdr:ext cx="10845800" cy="35560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7BD78B-2B2B-74B9-7660-A94149418129}"/>
            </a:ext>
          </a:extLst>
        </xdr:cNvPr>
        <xdr:cNvSpPr txBox="1"/>
      </xdr:nvSpPr>
      <xdr:spPr>
        <a:xfrm>
          <a:off x="1663700" y="1168400"/>
          <a:ext cx="10845800" cy="3556000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/>
            <a:t>This analysis evaluates the financial performance of the company over the period 2020–2024.</a:t>
          </a:r>
        </a:p>
        <a:p>
          <a:endParaRPr lang="en-US" sz="1600" b="1"/>
        </a:p>
        <a:p>
          <a:r>
            <a:rPr lang="en-US" sz="1600" b="1"/>
            <a:t>The company demonstrates consistent revenue growth, although growth has slowed slightly in recent years.</a:t>
          </a:r>
        </a:p>
        <a:p>
          <a:endParaRPr lang="en-US" sz="1600" b="1"/>
        </a:p>
        <a:p>
          <a:r>
            <a:rPr lang="en-US" sz="1600" b="1"/>
            <a:t>Profitability remains strong, with net profit margins </a:t>
          </a:r>
          <a:r>
            <a:rPr lang="tr-TR" sz="1600" b="1"/>
            <a:t>stabl</a:t>
          </a:r>
          <a:r>
            <a:rPr lang="en-US" sz="1600" b="1"/>
            <a:t>y around 25%, indicating efficient cost management and strong pricing power.</a:t>
          </a:r>
        </a:p>
        <a:p>
          <a:endParaRPr lang="en-US" sz="1600" b="1"/>
        </a:p>
        <a:p>
          <a:r>
            <a:rPr lang="en-US" sz="1600" b="1"/>
            <a:t>Return on Equity (ROE) is high, showing that the company effectively uses shareholders' capital to generate profits.</a:t>
          </a:r>
        </a:p>
        <a:p>
          <a:endParaRPr lang="en-US" sz="1600" b="1"/>
        </a:p>
        <a:p>
          <a:r>
            <a:rPr lang="en-US" sz="1600" b="1"/>
            <a:t>However, the company maintains relatively high leverage, which may introduce financial risk in the long term.</a:t>
          </a:r>
        </a:p>
        <a:p>
          <a:endParaRPr lang="en-US" sz="1600" b="1"/>
        </a:p>
        <a:p>
          <a:r>
            <a:rPr lang="en-US" sz="1600" b="1"/>
            <a:t>Overall, the company appears financially strong with solid profitability, but investors should monitor debt levels.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88900</xdr:rowOff>
    </xdr:from>
    <xdr:to>
      <xdr:col>7</xdr:col>
      <xdr:colOff>762000</xdr:colOff>
      <xdr:row>29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7C868C-C545-F444-BBDA-21FD9C758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177800</xdr:colOff>
      <xdr:row>6</xdr:row>
      <xdr:rowOff>76200</xdr:rowOff>
    </xdr:from>
    <xdr:to>
      <xdr:col>16</xdr:col>
      <xdr:colOff>203200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5E0115-AD2E-6D4B-A717-33ABDC750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</xdr:col>
      <xdr:colOff>800100</xdr:colOff>
      <xdr:row>29</xdr:row>
      <xdr:rowOff>0</xdr:rowOff>
    </xdr:from>
    <xdr:ext cx="8674100" cy="16002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BCB3DA1-93EF-53E7-7860-CED0401D728C}"/>
            </a:ext>
          </a:extLst>
        </xdr:cNvPr>
        <xdr:cNvSpPr txBox="1"/>
      </xdr:nvSpPr>
      <xdr:spPr>
        <a:xfrm>
          <a:off x="2832100" y="6032500"/>
          <a:ext cx="8674100" cy="1600200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800" b="1"/>
            <a:t>Revenue shows steady growth with slight slowdown after 2022.</a:t>
          </a:r>
        </a:p>
        <a:p>
          <a:endParaRPr lang="en-US" sz="1800" b="1"/>
        </a:p>
        <a:p>
          <a:r>
            <a:rPr lang="en-US" sz="1800" b="1"/>
            <a:t>Net profit margin is strong and stable around 25%, indicating consistent profitability.</a:t>
          </a:r>
        </a:p>
        <a:p>
          <a:endParaRPr lang="en-US" sz="1800" b="1"/>
        </a:p>
        <a:p>
          <a:r>
            <a:rPr lang="en-US" sz="1800" b="1"/>
            <a:t>Overall, the company demonstrates solid financial performance.</a:t>
          </a:r>
        </a:p>
      </xdr:txBody>
    </xdr:sp>
    <xdr:clientData/>
  </xdr:oneCellAnchor>
  <xdr:oneCellAnchor>
    <xdr:from>
      <xdr:col>0</xdr:col>
      <xdr:colOff>12700</xdr:colOff>
      <xdr:row>0</xdr:row>
      <xdr:rowOff>0</xdr:rowOff>
    </xdr:from>
    <xdr:ext cx="4989285" cy="70845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E1D9D7-414E-FA2A-2F78-3C230C3A70EE}"/>
            </a:ext>
          </a:extLst>
        </xdr:cNvPr>
        <xdr:cNvSpPr txBox="1"/>
      </xdr:nvSpPr>
      <xdr:spPr>
        <a:xfrm>
          <a:off x="12700" y="0"/>
          <a:ext cx="4989285" cy="7084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800" b="1">
              <a:solidFill>
                <a:srgbClr val="002060"/>
              </a:solidFill>
            </a:rPr>
            <a:t>Equity Analysis Dashboard</a:t>
          </a:r>
        </a:p>
      </xdr:txBody>
    </xdr:sp>
    <xdr:clientData/>
  </xdr:oneCellAnchor>
  <xdr:oneCellAnchor>
    <xdr:from>
      <xdr:col>5</xdr:col>
      <xdr:colOff>381000</xdr:colOff>
      <xdr:row>2</xdr:row>
      <xdr:rowOff>0</xdr:rowOff>
    </xdr:from>
    <xdr:ext cx="1536700" cy="6731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79FC1E5-8AA1-4DF5-0D1A-1FFDEFEE9012}"/>
            </a:ext>
          </a:extLst>
        </xdr:cNvPr>
        <xdr:cNvSpPr txBox="1"/>
      </xdr:nvSpPr>
      <xdr:spPr>
        <a:xfrm>
          <a:off x="4889500" y="546100"/>
          <a:ext cx="1536700" cy="673100"/>
        </a:xfrm>
        <a:prstGeom prst="rect">
          <a:avLst/>
        </a:prstGeom>
        <a:gradFill flip="none" rotWithShape="1">
          <a:gsLst>
            <a:gs pos="0">
              <a:schemeClr val="accent6">
                <a:lumMod val="0"/>
                <a:lumOff val="100000"/>
              </a:schemeClr>
            </a:gs>
            <a:gs pos="100000">
              <a:schemeClr val="accent6">
                <a:lumMod val="45000"/>
                <a:lumOff val="55000"/>
              </a:schemeClr>
            </a:gs>
            <a:gs pos="83000">
              <a:schemeClr val="accent6">
                <a:lumMod val="45000"/>
                <a:lumOff val="55000"/>
              </a:schemeClr>
            </a:gs>
            <a:gs pos="100000">
              <a:schemeClr val="accent6">
                <a:lumMod val="30000"/>
                <a:lumOff val="70000"/>
              </a:schemeClr>
            </a:gs>
          </a:gsLst>
          <a:lin ang="135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Revenue (2024)</a:t>
          </a:r>
        </a:p>
        <a:p>
          <a:r>
            <a:rPr lang="en-US" sz="1800" b="1"/>
            <a:t>391,035</a:t>
          </a:r>
        </a:p>
      </xdr:txBody>
    </xdr:sp>
    <xdr:clientData/>
  </xdr:oneCellAnchor>
  <xdr:oneCellAnchor>
    <xdr:from>
      <xdr:col>7</xdr:col>
      <xdr:colOff>469900</xdr:colOff>
      <xdr:row>2</xdr:row>
      <xdr:rowOff>0</xdr:rowOff>
    </xdr:from>
    <xdr:ext cx="1536700" cy="6731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F370E09-C626-DCFC-0366-E7EE81BB65CA}"/>
            </a:ext>
          </a:extLst>
        </xdr:cNvPr>
        <xdr:cNvSpPr txBox="1"/>
      </xdr:nvSpPr>
      <xdr:spPr>
        <a:xfrm>
          <a:off x="6629400" y="546100"/>
          <a:ext cx="1536700" cy="673100"/>
        </a:xfrm>
        <a:prstGeom prst="rect">
          <a:avLst/>
        </a:prstGeom>
        <a:gradFill flip="none" rotWithShape="1">
          <a:gsLst>
            <a:gs pos="0">
              <a:schemeClr val="accent4">
                <a:lumMod val="5000"/>
                <a:lumOff val="95000"/>
              </a:schemeClr>
            </a:gs>
            <a:gs pos="74000">
              <a:schemeClr val="accent4">
                <a:lumMod val="45000"/>
                <a:lumOff val="55000"/>
              </a:schemeClr>
            </a:gs>
            <a:gs pos="83000">
              <a:schemeClr val="accent4">
                <a:lumMod val="45000"/>
                <a:lumOff val="55000"/>
              </a:schemeClr>
            </a:gs>
            <a:gs pos="100000">
              <a:schemeClr val="accent4">
                <a:lumMod val="30000"/>
                <a:lumOff val="70000"/>
              </a:schemeClr>
            </a:gs>
          </a:gsLst>
          <a:lin ang="10800000" scaled="1"/>
          <a:tileRect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Net Profit Margin (2024)</a:t>
          </a:r>
        </a:p>
        <a:p>
          <a:r>
            <a:rPr lang="en-US" sz="1800" b="1"/>
            <a:t>25%</a:t>
          </a:r>
        </a:p>
      </xdr:txBody>
    </xdr:sp>
    <xdr:clientData/>
  </xdr:oneCellAnchor>
  <xdr:oneCellAnchor>
    <xdr:from>
      <xdr:col>9</xdr:col>
      <xdr:colOff>558800</xdr:colOff>
      <xdr:row>2</xdr:row>
      <xdr:rowOff>0</xdr:rowOff>
    </xdr:from>
    <xdr:ext cx="1536700" cy="6731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9DD3AA5-7268-08A1-8AAE-A305D1E58E04}"/>
            </a:ext>
          </a:extLst>
        </xdr:cNvPr>
        <xdr:cNvSpPr txBox="1"/>
      </xdr:nvSpPr>
      <xdr:spPr>
        <a:xfrm>
          <a:off x="8369300" y="546100"/>
          <a:ext cx="1536700" cy="673100"/>
        </a:xfrm>
        <a:prstGeom prst="rect">
          <a:avLst/>
        </a:prstGeom>
        <a:gradFill flip="none" rotWithShape="1">
          <a:gsLst>
            <a:gs pos="0">
              <a:schemeClr val="accent2">
                <a:lumMod val="5000"/>
                <a:lumOff val="95000"/>
              </a:schemeClr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13500000" scaled="1"/>
          <a:tileRect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ROE (2024)</a:t>
          </a:r>
        </a:p>
        <a:p>
          <a:r>
            <a:rPr lang="en-US" sz="1800" b="1"/>
            <a:t>156%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1DF698-7EFE-BA44-87BF-A2C256BB07A0}" name="Table2" displayName="Table2" ref="A1:F6" totalsRowShown="0" headerRowDxfId="6">
  <autoFilter ref="A1:F6" xr:uid="{7F1DF698-7EFE-BA44-87BF-A2C256BB07A0}"/>
  <tableColumns count="6">
    <tableColumn id="1" xr3:uid="{BAFF5F0B-F32F-6240-A423-F02A25943124}" name="Financials"/>
    <tableColumn id="2" xr3:uid="{60475095-8772-7A4B-84E7-ED6D10602F7A}" name="Revenue"/>
    <tableColumn id="3" xr3:uid="{C8EB8A11-7734-9C4B-A631-40F471E51DFC}" name="Net Income"/>
    <tableColumn id="4" xr3:uid="{1EC8F1CA-374E-2446-A0FF-FBFBD49CA315}" name="Total Assets"/>
    <tableColumn id="5" xr3:uid="{C133CC91-D168-CE43-8E28-980338EE8777}" name="Total Liabilities"/>
    <tableColumn id="6" xr3:uid="{58A87C25-BBA1-CB46-95C4-B095DDEA316A}" name="Equity" dataDxfId="5">
      <calculatedColumnFormula>Table2[[#This Row],[Total Assets]]-Table2[[#This Row],[Total Liabilities]]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04B0AE-7870-3D41-912B-D7B3A8EE98DC}" name="Table3" displayName="Table3" ref="A1:E6" totalsRowShown="0" headerRowDxfId="0" dataDxfId="1" dataCellStyle="Percent">
  <autoFilter ref="A1:E6" xr:uid="{B404B0AE-7870-3D41-912B-D7B3A8EE98DC}"/>
  <tableColumns count="5">
    <tableColumn id="1" xr3:uid="{48240599-B4B7-EE41-BBD8-B45D3271AC57}" name="Year"/>
    <tableColumn id="2" xr3:uid="{6A7F1435-3179-4B45-9435-269E1854ECB1}" name="Revenue Growth" dataDxfId="4" dataCellStyle="Percent">
      <calculatedColumnFormula>(Financials!B2/Financials!B1) - 1</calculatedColumnFormula>
    </tableColumn>
    <tableColumn id="3" xr3:uid="{3E3918E3-66A3-194A-9CA5-989B28C7A9F0}" name="Net Profit Margin" dataDxfId="3" dataCellStyle="Percent">
      <calculatedColumnFormula>(Financials!C1/Financials!B1)</calculatedColumnFormula>
    </tableColumn>
    <tableColumn id="4" xr3:uid="{B196C7C4-5A87-724D-9514-BE744CAAC587}" name="ROE" dataDxfId="2" dataCellStyle="Percent">
      <calculatedColumnFormula>(Financials!C1/Financials!F1)</calculatedColumnFormula>
    </tableColumn>
    <tableColumn id="5" xr3:uid="{5E45A4D0-ED66-E247-9624-A923BDABEBEB}" name="Debt to Equity">
      <calculatedColumnFormula>(Financials!E2/Financials!F1)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B1D9-B109-4944-BCF7-DDFAE06B046A}">
  <dimension ref="A1:A6"/>
  <sheetViews>
    <sheetView showGridLines="0" workbookViewId="0">
      <selection activeCell="D28" sqref="D28"/>
    </sheetView>
  </sheetViews>
  <sheetFormatPr baseColWidth="10" defaultRowHeight="16" x14ac:dyDescent="0.2"/>
  <cols>
    <col min="1" max="1" width="50.1640625" customWidth="1"/>
  </cols>
  <sheetData>
    <row r="1" spans="1:1" ht="34" x14ac:dyDescent="0.4">
      <c r="A1" s="7" t="s">
        <v>11</v>
      </c>
    </row>
    <row r="3" spans="1:1" x14ac:dyDescent="0.2">
      <c r="A3" s="6"/>
    </row>
    <row r="4" spans="1:1" x14ac:dyDescent="0.2">
      <c r="A4" s="4"/>
    </row>
    <row r="5" spans="1:1" x14ac:dyDescent="0.2">
      <c r="A5" s="4"/>
    </row>
    <row r="6" spans="1:1" x14ac:dyDescent="0.2">
      <c r="A6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27E7-181C-114F-B35F-C0F5ED44C9F5}">
  <dimension ref="A1:F6"/>
  <sheetViews>
    <sheetView workbookViewId="0">
      <selection sqref="A1:B6"/>
    </sheetView>
  </sheetViews>
  <sheetFormatPr baseColWidth="10" defaultRowHeight="16" x14ac:dyDescent="0.2"/>
  <cols>
    <col min="1" max="1" width="12" customWidth="1"/>
    <col min="3" max="3" width="13" customWidth="1"/>
    <col min="4" max="4" width="13.6640625" customWidth="1"/>
    <col min="5" max="5" width="16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2020</v>
      </c>
      <c r="B2">
        <v>274515</v>
      </c>
      <c r="C2">
        <v>57411</v>
      </c>
      <c r="D2">
        <v>323888</v>
      </c>
      <c r="E2">
        <v>258549</v>
      </c>
      <c r="F2">
        <f>Table2[[#This Row],[Total Assets]]-Table2[[#This Row],[Total Liabilities]]</f>
        <v>65339</v>
      </c>
    </row>
    <row r="3" spans="1:6" x14ac:dyDescent="0.2">
      <c r="A3">
        <v>2021</v>
      </c>
      <c r="B3">
        <v>365817</v>
      </c>
      <c r="C3">
        <v>94680</v>
      </c>
      <c r="D3">
        <v>351002</v>
      </c>
      <c r="E3">
        <v>287912</v>
      </c>
      <c r="F3">
        <f>Table2[[#This Row],[Total Assets]]-Table2[[#This Row],[Total Liabilities]]</f>
        <v>63090</v>
      </c>
    </row>
    <row r="4" spans="1:6" x14ac:dyDescent="0.2">
      <c r="A4">
        <v>2022</v>
      </c>
      <c r="B4">
        <v>394328</v>
      </c>
      <c r="C4">
        <v>99803</v>
      </c>
      <c r="D4">
        <v>352755</v>
      </c>
      <c r="E4">
        <v>302083</v>
      </c>
      <c r="F4">
        <f>Table2[[#This Row],[Total Assets]]-Table2[[#This Row],[Total Liabilities]]</f>
        <v>50672</v>
      </c>
    </row>
    <row r="5" spans="1:6" x14ac:dyDescent="0.2">
      <c r="A5">
        <v>2023</v>
      </c>
      <c r="B5">
        <v>383285</v>
      </c>
      <c r="C5">
        <v>96995</v>
      </c>
      <c r="D5">
        <v>352583</v>
      </c>
      <c r="E5">
        <v>290437</v>
      </c>
      <c r="F5">
        <f>Table2[[#This Row],[Total Assets]]-Table2[[#This Row],[Total Liabilities]]</f>
        <v>62146</v>
      </c>
    </row>
    <row r="6" spans="1:6" x14ac:dyDescent="0.2">
      <c r="A6">
        <v>2024</v>
      </c>
      <c r="B6">
        <v>391035</v>
      </c>
      <c r="C6">
        <v>93736</v>
      </c>
      <c r="D6">
        <v>364980</v>
      </c>
      <c r="E6">
        <v>308030</v>
      </c>
      <c r="F6">
        <f>Table2[[#This Row],[Total Assets]]-Table2[[#This Row],[Total Liabilities]]</f>
        <v>56950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281A-D7BC-0049-985D-EFC322A89942}">
  <dimension ref="A1:E6"/>
  <sheetViews>
    <sheetView workbookViewId="0">
      <selection activeCell="E19" sqref="E19"/>
    </sheetView>
  </sheetViews>
  <sheetFormatPr baseColWidth="10" defaultRowHeight="16" x14ac:dyDescent="0.2"/>
  <cols>
    <col min="2" max="2" width="16.83203125" customWidth="1"/>
    <col min="3" max="3" width="17.5" customWidth="1"/>
    <col min="5" max="5" width="14.83203125" customWidth="1"/>
  </cols>
  <sheetData>
    <row r="1" spans="1:5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2">
      <c r="A2">
        <v>2020</v>
      </c>
    </row>
    <row r="3" spans="1:5" x14ac:dyDescent="0.2">
      <c r="A3">
        <v>2021</v>
      </c>
      <c r="B3" s="3">
        <f>(Financials!B3/Financials!B2) - 1</f>
        <v>0.33259384733074704</v>
      </c>
      <c r="C3" s="3">
        <f>(Financials!C2/Financials!B2)</f>
        <v>0.20913611278072236</v>
      </c>
      <c r="D3" s="3">
        <f>(Financials!C2/Financials!F2)</f>
        <v>0.87866358530127486</v>
      </c>
      <c r="E3">
        <f>(Financials!E3/Financials!F2)</f>
        <v>4.4064341358147505</v>
      </c>
    </row>
    <row r="4" spans="1:5" x14ac:dyDescent="0.2">
      <c r="A4">
        <v>2022</v>
      </c>
      <c r="B4" s="3">
        <f>(Financials!B4/Financials!B3) - 1</f>
        <v>7.7937876041846099E-2</v>
      </c>
      <c r="C4" s="3">
        <f>(Financials!C3/Financials!B3)</f>
        <v>0.25881793355694238</v>
      </c>
      <c r="D4" s="3">
        <f>(Financials!C3/Financials!F3)</f>
        <v>1.5007132667617689</v>
      </c>
      <c r="E4">
        <f>(Financials!E4/Financials!F3)</f>
        <v>4.7881280710096688</v>
      </c>
    </row>
    <row r="5" spans="1:5" x14ac:dyDescent="0.2">
      <c r="A5">
        <v>2023</v>
      </c>
      <c r="B5" s="3">
        <f>(Financials!B5/Financials!B4) - 1</f>
        <v>-2.800460530319937E-2</v>
      </c>
      <c r="C5" s="3">
        <f>(Financials!C4/Financials!B4)</f>
        <v>0.25309640705199732</v>
      </c>
      <c r="D5" s="3">
        <f>(Financials!C4/Financials!F4)</f>
        <v>1.9695887275023682</v>
      </c>
      <c r="E5">
        <f>(Financials!E5/Financials!F4)</f>
        <v>5.7317058730659927</v>
      </c>
    </row>
    <row r="6" spans="1:5" x14ac:dyDescent="0.2">
      <c r="A6">
        <v>2024</v>
      </c>
      <c r="B6" s="3">
        <f>(Financials!B6/Financials!B5) - 1</f>
        <v>2.021994077514111E-2</v>
      </c>
      <c r="C6" s="3">
        <f>(Financials!C5/Financials!B5)</f>
        <v>0.25306234264320282</v>
      </c>
      <c r="D6" s="3">
        <f>(Financials!C5/Financials!F5)</f>
        <v>1.5607601454639075</v>
      </c>
      <c r="E6">
        <f>(Financials!E6/Financials!F5)</f>
        <v>4.9565539214108716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A0C67-80E0-A246-BF30-657E811048DF}">
  <dimension ref="A1:I30"/>
  <sheetViews>
    <sheetView showGridLines="0" tabSelected="1" workbookViewId="0">
      <selection activeCell="E5" sqref="E5"/>
    </sheetView>
  </sheetViews>
  <sheetFormatPr baseColWidth="10" defaultRowHeight="16" x14ac:dyDescent="0.2"/>
  <cols>
    <col min="1" max="1" width="15.83203125" customWidth="1"/>
  </cols>
  <sheetData>
    <row r="1" spans="1:2" ht="27" x14ac:dyDescent="0.35">
      <c r="A1" s="5"/>
      <c r="B1" s="5"/>
    </row>
    <row r="21" spans="1:9" x14ac:dyDescent="0.2">
      <c r="A21" s="4"/>
    </row>
    <row r="22" spans="1:9" x14ac:dyDescent="0.2">
      <c r="A22" s="4"/>
    </row>
    <row r="24" spans="1:9" x14ac:dyDescent="0.2">
      <c r="A24" s="4"/>
    </row>
    <row r="29" spans="1:9" x14ac:dyDescent="0.2">
      <c r="I29" s="8"/>
    </row>
    <row r="30" spans="1:9" ht="19" x14ac:dyDescent="0.25">
      <c r="I30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Financials</vt:lpstr>
      <vt:lpstr>Ratios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TÜRKOĞLU</dc:creator>
  <cp:lastModifiedBy>ZEYNEP TÜRKOĞLU</cp:lastModifiedBy>
  <dcterms:created xsi:type="dcterms:W3CDTF">2026-04-26T17:00:24Z</dcterms:created>
  <dcterms:modified xsi:type="dcterms:W3CDTF">2026-04-27T01:00:57Z</dcterms:modified>
</cp:coreProperties>
</file>